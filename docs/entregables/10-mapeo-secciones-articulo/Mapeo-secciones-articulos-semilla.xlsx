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UPeU\X\Tesita\Entregables\"/>
    </mc:Choice>
  </mc:AlternateContent>
  <xr:revisionPtr revIDLastSave="0" documentId="13_ncr:1_{3DC2F86F-C7EE-4BC1-9302-F00B20E0EA85}" xr6:coauthVersionLast="47" xr6:coauthVersionMax="47" xr10:uidLastSave="{00000000-0000-0000-0000-000000000000}"/>
  <bookViews>
    <workbookView xWindow="-108" yWindow="-108" windowWidth="23256" windowHeight="13176" tabRatio="724" xr2:uid="{00000000-000D-0000-FFFF-FFFF00000000}"/>
  </bookViews>
  <sheets>
    <sheet name="MAPEO ARTICULO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6" i="8" l="1"/>
  <c r="D26" i="8" s="1"/>
  <c r="D48" i="8" l="1"/>
  <c r="D45" i="8"/>
  <c r="D44" i="8"/>
  <c r="D43" i="8"/>
  <c r="D51" i="8"/>
  <c r="D39" i="8"/>
  <c r="D35" i="8"/>
  <c r="D28" i="8"/>
  <c r="D25" i="8"/>
  <c r="D53" i="8"/>
  <c r="D50" i="8"/>
  <c r="D49" i="8"/>
  <c r="D36" i="8"/>
  <c r="D32" i="8"/>
  <c r="D27" i="8"/>
  <c r="D55" i="8"/>
  <c r="D54" i="8"/>
  <c r="D52" i="8"/>
  <c r="D47" i="8"/>
  <c r="D38" i="8"/>
  <c r="D37" i="8"/>
  <c r="D31" i="8"/>
  <c r="D46" i="8"/>
  <c r="D42" i="8"/>
  <c r="D41" i="8"/>
  <c r="D40" i="8"/>
  <c r="D34" i="8"/>
  <c r="D33" i="8"/>
  <c r="D30" i="8"/>
  <c r="D29" i="8"/>
</calcChain>
</file>

<file path=xl/sharedStrings.xml><?xml version="1.0" encoding="utf-8"?>
<sst xmlns="http://schemas.openxmlformats.org/spreadsheetml/2006/main" count="204" uniqueCount="153">
  <si>
    <t>Titulo</t>
  </si>
  <si>
    <t>DOI</t>
  </si>
  <si>
    <t>Estructura</t>
  </si>
  <si>
    <t>Results</t>
  </si>
  <si>
    <t>References</t>
  </si>
  <si>
    <t>1. Introduction</t>
  </si>
  <si>
    <t>5. Conclusion</t>
  </si>
  <si>
    <t>2. Related works</t>
  </si>
  <si>
    <t>5. Discussion</t>
  </si>
  <si>
    <t>6. Conclusion and future work</t>
  </si>
  <si>
    <t>6. Conclusions</t>
  </si>
  <si>
    <t>2. Related Work</t>
  </si>
  <si>
    <t>6. Conclusion</t>
  </si>
  <si>
    <t>2. Background</t>
  </si>
  <si>
    <t>7. Conclusions</t>
  </si>
  <si>
    <t>N°</t>
  </si>
  <si>
    <t>OBS</t>
  </si>
  <si>
    <t>El articulo presenta otras sessiones que exige la revista en su guia de autores</t>
  </si>
  <si>
    <t>SECCION 1</t>
  </si>
  <si>
    <t>SECCION 2</t>
  </si>
  <si>
    <t>SECCION 3</t>
  </si>
  <si>
    <t>SECCION 4</t>
  </si>
  <si>
    <t>SECCION 5</t>
  </si>
  <si>
    <t>SECCION 6</t>
  </si>
  <si>
    <t>SECCION 7</t>
  </si>
  <si>
    <t>OTRAS SECCIONES</t>
  </si>
  <si>
    <t xml:space="preserve">3. Methodology
</t>
  </si>
  <si>
    <t xml:space="preserve">1. Introduction
</t>
  </si>
  <si>
    <t>SECCION 8</t>
  </si>
  <si>
    <t>SECCION 9</t>
  </si>
  <si>
    <t>SECCION 10</t>
  </si>
  <si>
    <t xml:space="preserve">5. Discussion
</t>
  </si>
  <si>
    <t>TIENE OTRAS SECCIONES SEGÚN GUIA DE AUTORES</t>
  </si>
  <si>
    <t>Related work</t>
  </si>
  <si>
    <t>Conclusion</t>
  </si>
  <si>
    <t>2. Related work</t>
  </si>
  <si>
    <t>Seccion</t>
  </si>
  <si>
    <t>introduccion</t>
  </si>
  <si>
    <t xml:space="preserve"> Related work</t>
  </si>
  <si>
    <t>Background</t>
  </si>
  <si>
    <t>Methodology</t>
  </si>
  <si>
    <t>Discussion</t>
  </si>
  <si>
    <t>Cant</t>
  </si>
  <si>
    <t>%</t>
  </si>
  <si>
    <t>total</t>
  </si>
  <si>
    <t>Guia de Autores</t>
  </si>
  <si>
    <t>Revista: discovery</t>
  </si>
  <si>
    <t>INTRODUCCION</t>
  </si>
  <si>
    <t>REFERENCIAS</t>
  </si>
  <si>
    <t>Hybrid AI-driven anomaly detection and sequential attack classification for securing IoT networks</t>
  </si>
  <si>
    <t xml:space="preserve">2. Method
</t>
  </si>
  <si>
    <t xml:space="preserve">3. Result
</t>
  </si>
  <si>
    <t xml:space="preserve">4. Conclusion
</t>
  </si>
  <si>
    <t>https://doi.org/10.11591/eei.v15i1.11048</t>
  </si>
  <si>
    <t>ARTICULOS ADICIONALES - Otras revistas Scopus (Bulletin of Electrical Engineering and informatics (BEEI) - International Journal of Safety and Security Engineering (IJSSE))</t>
  </si>
  <si>
    <t>Detecting anomalies in MQTT/MQTT-SN traffic using intelligent learning models</t>
  </si>
  <si>
    <t>https://doi.org/10.11591/eei.v15i3.11889</t>
  </si>
  <si>
    <t xml:space="preserve">2. Materials </t>
  </si>
  <si>
    <t>3. Proposed Model</t>
  </si>
  <si>
    <t xml:space="preserve">4. Results and Discussion
</t>
  </si>
  <si>
    <t>An efficient intrusion detection systems in fog computing using forward selection and BiLSTM</t>
  </si>
  <si>
    <t>https://doi.org/10.11591/eei.v13i4.7143</t>
  </si>
  <si>
    <t>3. Related work</t>
  </si>
  <si>
    <t>4. Method</t>
  </si>
  <si>
    <t>5. Experimental setup</t>
  </si>
  <si>
    <t>6. Results</t>
  </si>
  <si>
    <t>7. Conclusion</t>
  </si>
  <si>
    <t>Anomaly intrusion detection using machine learning - IG-R based on NSL-KDD dataset</t>
  </si>
  <si>
    <t>https://doi.org/10.11591/eei.v13i6.7308</t>
  </si>
  <si>
    <t>3. Dataset, adversary model, and confusion matrix</t>
  </si>
  <si>
    <t>4. Testing model</t>
  </si>
  <si>
    <t>5. Results evaluation and analysis</t>
  </si>
  <si>
    <t>A stacked ensemble approach to identify internet of things network attacks through traffic analysis</t>
  </si>
  <si>
    <t>https://doi.org/10.11591/eei.v13i6.7811</t>
  </si>
  <si>
    <t>3. Method</t>
  </si>
  <si>
    <t>4. Experiments and results</t>
  </si>
  <si>
    <t>International Journal of Safety and Security Engineering (IJSSE)</t>
  </si>
  <si>
    <t>Bulletin of Electrical Engineering and Informatics (BEEI)</t>
  </si>
  <si>
    <t>FL-NDR: A Federated Unlearning-Driven Network Detection and Response System for DDoS Defence in Software-Defined Networks</t>
  </si>
  <si>
    <t>https://doi.org/10.18280/ijsse.160615</t>
  </si>
  <si>
    <t>3. Federated Unlearning NDR System Design</t>
  </si>
  <si>
    <t>4. SDN simulation Validation</t>
  </si>
  <si>
    <t>5. Federated Unlearning Evaluation</t>
  </si>
  <si>
    <t>6. Discussions</t>
  </si>
  <si>
    <t>Hybrid Machine Learning-Based Intrusion Detection for Zero-Day Attack Prevention in Digital Education Networks</t>
  </si>
  <si>
    <t>https://doi.org/10.18280/ijsse.150815</t>
  </si>
  <si>
    <t xml:space="preserve">2. Related work
</t>
  </si>
  <si>
    <t>3. Proposed Methodolohy and Theoretical Framework</t>
  </si>
  <si>
    <t>4. Comparative Analysis with Existing Techniques</t>
  </si>
  <si>
    <t xml:space="preserve">5. Results on University
</t>
  </si>
  <si>
    <t>Deep Reinforcement Learning-Based Energy-Aware Intrusion Prevention in IoT Environment</t>
  </si>
  <si>
    <t>https://doi.org/10.18280/ijsse.150819</t>
  </si>
  <si>
    <t xml:space="preserve">4. Result and Discussion
</t>
  </si>
  <si>
    <t xml:space="preserve">5. Conclusions
</t>
  </si>
  <si>
    <t>A Comparative Study of Incremental and Batch Machine Learning Methodologies for Network Intrusion Detection</t>
  </si>
  <si>
    <t>https://doi.org/10.18280/ijsse.150118</t>
  </si>
  <si>
    <t>4. Implementation and Experimental Results</t>
  </si>
  <si>
    <t>Deep Learning Based Intrusion Detection System of IoT Technology: Accuracy Versus Computational Complexity</t>
  </si>
  <si>
    <t>https://doi.org/10.18280/ijsse.140522</t>
  </si>
  <si>
    <t xml:space="preserve">3. The Proposed Approach's Design
</t>
  </si>
  <si>
    <t xml:space="preserve">4. Dataset Description and Collection
</t>
  </si>
  <si>
    <t xml:space="preserve">5. Evaluation Metrics for Model Performance
</t>
  </si>
  <si>
    <t>6. Result and Discussion</t>
  </si>
  <si>
    <t>ARTICULOS SEMILLA -International Journal of Intelligent Engineering and Systems (revista objetivo)</t>
  </si>
  <si>
    <t>International Journal of Intelligent Engineering and Systems (INASS)</t>
  </si>
  <si>
    <t>https://inass.org/publications/pub-submissionguidelines/</t>
  </si>
  <si>
    <t>Materials</t>
  </si>
  <si>
    <t>Proposed Model</t>
  </si>
  <si>
    <t>Dataset, adversary model, and confusion matrix</t>
  </si>
  <si>
    <t>Testing model</t>
  </si>
  <si>
    <t>Federated Unlearning NDR System Design</t>
  </si>
  <si>
    <t>Proposed Methodolohy and Theoretical Framework</t>
  </si>
  <si>
    <t>3. Proposed Methodology</t>
  </si>
  <si>
    <t>Proposed Methodology</t>
  </si>
  <si>
    <t>The Proposed Approach's Design</t>
  </si>
  <si>
    <t>Comparative Analysis with Existing Techniques</t>
  </si>
  <si>
    <t>Dataset Description and Collection</t>
  </si>
  <si>
    <t>SDN simulation Validation</t>
  </si>
  <si>
    <t>Result</t>
  </si>
  <si>
    <t>Result and Discussion</t>
  </si>
  <si>
    <t>Method</t>
  </si>
  <si>
    <t>Results evaluation and analysis</t>
  </si>
  <si>
    <t>Experiments and Results</t>
  </si>
  <si>
    <t>Results on University</t>
  </si>
  <si>
    <t>Federated Unlearning Evaluation</t>
  </si>
  <si>
    <t>HIDE-6G: Advanced Intrusion Detection System for Secure 6G Network using Deep Learning</t>
  </si>
  <si>
    <t>Optimizing Intrusion Detection in Internet of Things (IoT) Networks Using a Hybrid PSO-LightBoost Approach</t>
  </si>
  <si>
    <t>Optimizing Feature Selection Method in Intrusion Detection System Using Thresholding</t>
  </si>
  <si>
    <t>Efficient Two-Stage Intrusion Detection System Based on Hybrid Feature Selection Techniques and Machine Learning</t>
  </si>
  <si>
    <t>Analysis of Weight-Based Voting Classifier for Intrusion Detection System</t>
  </si>
  <si>
    <t>https://doi.org/10.22266/ijies2025.0430.14</t>
  </si>
  <si>
    <t>https://doi.org/10.22266/ijies2024.0630.18</t>
  </si>
  <si>
    <t>http://doi.org/10.22266/ijies2025.0430.16</t>
  </si>
  <si>
    <t>https://doi.org/10.22266/ijies2024.0430.17</t>
  </si>
  <si>
    <t>https://doi.org/10.22266/ijies2024.1031.37</t>
  </si>
  <si>
    <t>2. Literature Survey</t>
  </si>
  <si>
    <t>3. Hybrid intrusion detection system for 6g
network</t>
  </si>
  <si>
    <t>Acknowledgments</t>
  </si>
  <si>
    <t>2. Literature Review</t>
  </si>
  <si>
    <t xml:space="preserve">3. Proposed methodology
</t>
  </si>
  <si>
    <t xml:space="preserve">4. Result analysis y Discussion
</t>
  </si>
  <si>
    <t>5. Conclusion with future work</t>
  </si>
  <si>
    <t>Author contributions</t>
  </si>
  <si>
    <t>Conflicts of interest</t>
  </si>
  <si>
    <t>3. Attack detection in WSNs (Wireless
Sensor Networks)</t>
  </si>
  <si>
    <t>4. Intrusion detection architecture for IoT</t>
  </si>
  <si>
    <t>5. Hybrid intrusion detection with cuckoo search and K-means clustering model</t>
  </si>
  <si>
    <t>6. Results and discussion</t>
  </si>
  <si>
    <t>3. The proposed method</t>
  </si>
  <si>
    <t>4. Results and discussion</t>
  </si>
  <si>
    <t>Literature review</t>
  </si>
  <si>
    <t>Literature survey</t>
  </si>
  <si>
    <t>Conclusion with future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</si>
</sst>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  <font>
      <b/>
      <sz val="12"/>
      <name val="Calibri"/>
      <charset val="1"/>
    </font>
    <font>
      <u/>
      <sz val="11"/>
      <color theme="10"/>
      <name val="Calibri"/>
      <family val="2"/>
      <charset val="1"/>
    </font>
    <font>
      <sz val="11"/>
      <color theme="1"/>
      <name val="Calibri"/>
      <family val="2"/>
      <charset val="1"/>
    </font>
    <font>
      <sz val="12"/>
      <color theme="1"/>
      <name val="Calibri"/>
      <family val="2"/>
    </font>
    <font>
      <b/>
      <sz val="12"/>
      <name val="Calibri"/>
      <family val="2"/>
    </font>
    <font>
      <b/>
      <sz val="14"/>
      <color theme="1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20"/>
      <color theme="1"/>
      <name val="Calibri"/>
      <family val="2"/>
    </font>
    <font>
      <sz val="14"/>
      <color theme="1"/>
      <name val="Calibri"/>
      <family val="2"/>
    </font>
    <font>
      <sz val="16"/>
      <color theme="1"/>
      <name val="Calibri"/>
      <family val="2"/>
    </font>
    <font>
      <b/>
      <sz val="11"/>
      <name val="Calibri"/>
      <family val="2"/>
    </font>
    <font>
      <sz val="14"/>
      <color theme="1"/>
      <name val="Calibri"/>
      <family val="2"/>
      <charset val="1"/>
    </font>
    <font>
      <sz val="16"/>
      <color theme="1"/>
      <name val="Calibri"/>
      <family val="2"/>
      <charset val="1"/>
    </font>
    <font>
      <b/>
      <sz val="22"/>
      <color theme="1"/>
      <name val="Calibri"/>
      <family val="2"/>
    </font>
    <font>
      <sz val="20"/>
      <color theme="1"/>
      <name val="Calibri"/>
      <family val="2"/>
      <charset val="1"/>
    </font>
    <font>
      <b/>
      <sz val="26"/>
      <color theme="1"/>
      <name val="Calibri"/>
      <family val="2"/>
    </font>
    <font>
      <sz val="8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92D050"/>
        <bgColor rgb="FFB4C7E7"/>
      </patternFill>
    </fill>
    <fill>
      <patternFill patternType="solid">
        <fgColor rgb="FFB4C7E7"/>
        <bgColor rgb="FF99CCFF"/>
      </patternFill>
    </fill>
    <fill>
      <patternFill patternType="solid">
        <fgColor rgb="FFFFE699"/>
        <bgColor rgb="FFFCD5B5"/>
      </patternFill>
    </fill>
    <fill>
      <patternFill patternType="solid">
        <fgColor rgb="FFD9D9D9"/>
        <bgColor rgb="FFDCE6F2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2" fillId="5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3" xfId="0" applyBorder="1" applyAlignment="1">
      <alignment vertical="top" wrapText="1"/>
    </xf>
    <xf numFmtId="0" fontId="10" fillId="0" borderId="1" xfId="0" applyFont="1" applyBorder="1" applyAlignment="1">
      <alignment horizontal="center" vertical="center"/>
    </xf>
    <xf numFmtId="0" fontId="12" fillId="0" borderId="3" xfId="0" applyFont="1" applyBorder="1" applyAlignment="1">
      <alignment vertical="center" wrapText="1"/>
    </xf>
    <xf numFmtId="0" fontId="13" fillId="4" borderId="0" xfId="0" applyFont="1" applyFill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14" fillId="0" borderId="1" xfId="0" applyFont="1" applyBorder="1"/>
    <xf numFmtId="0" fontId="14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vertical="center" wrapText="1"/>
    </xf>
    <xf numFmtId="0" fontId="14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 wrapText="1"/>
    </xf>
    <xf numFmtId="15" fontId="14" fillId="0" borderId="1" xfId="0" applyNumberFormat="1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5" fillId="0" borderId="1" xfId="0" applyFont="1" applyBorder="1"/>
    <xf numFmtId="0" fontId="8" fillId="6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5" fillId="0" borderId="2" xfId="0" applyFont="1" applyBorder="1"/>
    <xf numFmtId="0" fontId="12" fillId="0" borderId="1" xfId="0" applyFont="1" applyBorder="1" applyAlignment="1">
      <alignment horizontal="center" vertical="center"/>
    </xf>
    <xf numFmtId="10" fontId="0" fillId="0" borderId="1" xfId="2" applyNumberFormat="1" applyFont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vertical="top" wrapText="1"/>
    </xf>
    <xf numFmtId="0" fontId="12" fillId="7" borderId="1" xfId="0" applyFont="1" applyFill="1" applyBorder="1" applyAlignment="1">
      <alignment horizontal="center" vertical="center"/>
    </xf>
    <xf numFmtId="0" fontId="15" fillId="7" borderId="1" xfId="0" applyFont="1" applyFill="1" applyBorder="1"/>
    <xf numFmtId="0" fontId="15" fillId="7" borderId="1" xfId="0" applyFont="1" applyFill="1" applyBorder="1" applyAlignment="1">
      <alignment vertical="center" wrapText="1"/>
    </xf>
    <xf numFmtId="0" fontId="3" fillId="0" borderId="0" xfId="1" applyAlignment="1">
      <alignment horizontal="left" vertical="center" wrapText="1"/>
    </xf>
    <xf numFmtId="0" fontId="9" fillId="0" borderId="0" xfId="0" applyFont="1" applyAlignment="1">
      <alignment vertical="center"/>
    </xf>
    <xf numFmtId="0" fontId="16" fillId="7" borderId="0" xfId="0" applyFont="1" applyFill="1"/>
    <xf numFmtId="0" fontId="17" fillId="0" borderId="0" xfId="0" applyFont="1"/>
    <xf numFmtId="0" fontId="7" fillId="0" borderId="0" xfId="0" applyFont="1" applyAlignment="1">
      <alignment vertical="center" wrapText="1"/>
    </xf>
    <xf numFmtId="0" fontId="2" fillId="5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3" fillId="0" borderId="1" xfId="1" applyBorder="1" applyAlignment="1">
      <alignment vertical="center" wrapText="1"/>
    </xf>
    <xf numFmtId="0" fontId="10" fillId="8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left" vertical="center"/>
    </xf>
    <xf numFmtId="0" fontId="18" fillId="1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vertical="center" wrapText="1"/>
    </xf>
  </cellXfs>
  <cellStyles count="3">
    <cellStyle name="Hipervínculo" xfId="1" builtinId="8"/>
    <cellStyle name="Normal" xfId="0" builtinId="0"/>
    <cellStyle name="Porcentaje" xfId="2" builtinId="5"/>
  </cellStyles>
  <dxfs count="0"/>
  <tableStyles count="0" defaultTableStyle="TableStyleMedium2" defaultPivotStyle="PivotStyleLight16"/>
  <colors>
    <indexedColors>
      <rgbColor rgb="FF000000"/>
      <rgbColor rgb="FFF2DCDB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DEADA"/>
      <rgbColor rgb="FFDCE6F2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E699"/>
      <rgbColor rgb="FF99CCFF"/>
      <rgbColor rgb="FFFFC7CE"/>
      <rgbColor rgb="FFB3A2C7"/>
      <rgbColor rgb="FFFCD5B5"/>
      <rgbColor rgb="FF3366FF"/>
      <rgbColor rgb="FF33CCCC"/>
      <rgbColor rgb="FF92D050"/>
      <rgbColor rgb="FFFFC000"/>
      <rgbColor rgb="FFF79646"/>
      <rgbColor rgb="FFFF6600"/>
      <rgbColor rgb="FF4F81BD"/>
      <rgbColor rgb="FFB1A0C7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'MAPEO ARTICULO'!$B$25:$B$55</c:f>
              <c:strCache>
                <c:ptCount val="31"/>
                <c:pt idx="0">
                  <c:v>introduccion</c:v>
                </c:pt>
                <c:pt idx="1">
                  <c:v> Related work</c:v>
                </c:pt>
                <c:pt idx="2">
                  <c:v>Materials</c:v>
                </c:pt>
                <c:pt idx="3">
                  <c:v>Literature review</c:v>
                </c:pt>
                <c:pt idx="4">
                  <c:v>Background</c:v>
                </c:pt>
                <c:pt idx="5">
                  <c:v>Literature survey</c:v>
                </c:pt>
                <c:pt idx="9">
                  <c:v>Method</c:v>
                </c:pt>
                <c:pt idx="10">
                  <c:v>Dataset, adversary model, and confusion matrix</c:v>
                </c:pt>
                <c:pt idx="11">
                  <c:v>Proposed Model</c:v>
                </c:pt>
                <c:pt idx="12">
                  <c:v>Testing model</c:v>
                </c:pt>
                <c:pt idx="13">
                  <c:v>Federated Unlearning NDR System Design</c:v>
                </c:pt>
                <c:pt idx="14">
                  <c:v>Proposed Methodolohy and Theoretical Framework</c:v>
                </c:pt>
                <c:pt idx="15">
                  <c:v>Proposed Model</c:v>
                </c:pt>
                <c:pt idx="16">
                  <c:v>Proposed Methodology</c:v>
                </c:pt>
                <c:pt idx="17">
                  <c:v>The Proposed Approach's Design</c:v>
                </c:pt>
                <c:pt idx="18">
                  <c:v>Comparative Analysis with Existing Techniques</c:v>
                </c:pt>
                <c:pt idx="19">
                  <c:v>Dataset Description and Collection</c:v>
                </c:pt>
                <c:pt idx="20">
                  <c:v>SDN simulation Validation</c:v>
                </c:pt>
                <c:pt idx="21">
                  <c:v>Result</c:v>
                </c:pt>
                <c:pt idx="22">
                  <c:v>Result and Discussion</c:v>
                </c:pt>
                <c:pt idx="23">
                  <c:v>Results evaluation and analysis</c:v>
                </c:pt>
                <c:pt idx="24">
                  <c:v>Experiments and Results</c:v>
                </c:pt>
                <c:pt idx="25">
                  <c:v>Results on University</c:v>
                </c:pt>
                <c:pt idx="26">
                  <c:v>Federated Unlearning Evaluation</c:v>
                </c:pt>
                <c:pt idx="27">
                  <c:v>Discussion</c:v>
                </c:pt>
                <c:pt idx="28">
                  <c:v>Conclusion with future works</c:v>
                </c:pt>
                <c:pt idx="29">
                  <c:v>Conclusion</c:v>
                </c:pt>
                <c:pt idx="30">
                  <c:v>References</c:v>
                </c:pt>
              </c:strCache>
            </c:strRef>
          </c:cat>
          <c:val>
            <c:numRef>
              <c:f>'MAPEO ARTICULO'!$D$25:$D$55</c:f>
              <c:numCache>
                <c:formatCode>0.00%</c:formatCode>
                <c:ptCount val="31"/>
                <c:pt idx="0">
                  <c:v>0.18518518518518517</c:v>
                </c:pt>
                <c:pt idx="1">
                  <c:v>0.12345679012345678</c:v>
                </c:pt>
                <c:pt idx="2">
                  <c:v>1.2345679012345678E-2</c:v>
                </c:pt>
                <c:pt idx="3">
                  <c:v>1.2345679012345678E-2</c:v>
                </c:pt>
                <c:pt idx="4">
                  <c:v>2.4691358024691357E-2</c:v>
                </c:pt>
                <c:pt idx="5">
                  <c:v>1.2345679012345678E-2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3.7037037037037035E-2</c:v>
                </c:pt>
                <c:pt idx="10">
                  <c:v>1.2345679012345678E-2</c:v>
                </c:pt>
                <c:pt idx="11">
                  <c:v>1.2345679012345678E-2</c:v>
                </c:pt>
                <c:pt idx="12">
                  <c:v>1.2345679012345678E-2</c:v>
                </c:pt>
                <c:pt idx="13">
                  <c:v>1.2345679012345678E-2</c:v>
                </c:pt>
                <c:pt idx="14">
                  <c:v>1.2345679012345678E-2</c:v>
                </c:pt>
                <c:pt idx="15">
                  <c:v>1.2345679012345678E-2</c:v>
                </c:pt>
                <c:pt idx="16">
                  <c:v>1.2345679012345678E-2</c:v>
                </c:pt>
                <c:pt idx="17">
                  <c:v>1.2345679012345678E-2</c:v>
                </c:pt>
                <c:pt idx="18">
                  <c:v>1.2345679012345678E-2</c:v>
                </c:pt>
                <c:pt idx="19">
                  <c:v>1.2345679012345678E-2</c:v>
                </c:pt>
                <c:pt idx="20">
                  <c:v>1.2345679012345678E-2</c:v>
                </c:pt>
                <c:pt idx="21">
                  <c:v>2.4691358024691357E-2</c:v>
                </c:pt>
                <c:pt idx="22">
                  <c:v>3.7037037037037035E-2</c:v>
                </c:pt>
                <c:pt idx="23">
                  <c:v>1.2345679012345678E-2</c:v>
                </c:pt>
                <c:pt idx="24">
                  <c:v>1.2345679012345678E-2</c:v>
                </c:pt>
                <c:pt idx="25">
                  <c:v>1.2345679012345678E-2</c:v>
                </c:pt>
                <c:pt idx="26">
                  <c:v>1.2345679012345678E-2</c:v>
                </c:pt>
                <c:pt idx="27">
                  <c:v>3.7037037037037035E-2</c:v>
                </c:pt>
                <c:pt idx="28">
                  <c:v>1.2345679012345678E-2</c:v>
                </c:pt>
                <c:pt idx="29">
                  <c:v>0.1728395061728395</c:v>
                </c:pt>
                <c:pt idx="30">
                  <c:v>0.12345679012345678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32-4CD3-9848-4F4B80D8942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83631119"/>
        <c:axId val="1955937791"/>
      </c:barChart>
      <c:catAx>
        <c:axId val="1983631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55937791"/>
        <c:crosses val="autoZero"/>
        <c:auto val="1"/>
        <c:lblAlgn val="ctr"/>
        <c:lblOffset val="100"/>
        <c:noMultiLvlLbl val="0"/>
      </c:catAx>
      <c:valAx>
        <c:axId val="1955937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83631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712521</xdr:colOff>
      <xdr:row>24</xdr:row>
      <xdr:rowOff>306281</xdr:rowOff>
    </xdr:from>
    <xdr:to>
      <xdr:col>10</xdr:col>
      <xdr:colOff>1662546</xdr:colOff>
      <xdr:row>41</xdr:row>
      <xdr:rowOff>69271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0B98ED8-3EA7-4769-A0F4-BE46866740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nass.org/publications/pub-submissionguidelines/" TargetMode="External"/><Relationship Id="rId13" Type="http://schemas.openxmlformats.org/officeDocument/2006/relationships/hyperlink" Target="https://doi.org/10.18280/ijsse.140522" TargetMode="External"/><Relationship Id="rId3" Type="http://schemas.openxmlformats.org/officeDocument/2006/relationships/hyperlink" Target="https://doi.org/10.11591/eei.v15i1.11048" TargetMode="External"/><Relationship Id="rId7" Type="http://schemas.openxmlformats.org/officeDocument/2006/relationships/hyperlink" Target="https://doi.org/10.11591/eei.v13i6.7811" TargetMode="External"/><Relationship Id="rId12" Type="http://schemas.openxmlformats.org/officeDocument/2006/relationships/hyperlink" Target="https://doi.org/10.18280/ijsse.150118" TargetMode="External"/><Relationship Id="rId2" Type="http://schemas.openxmlformats.org/officeDocument/2006/relationships/hyperlink" Target="https://doi.org/10.22266/ijies2024.0630.18" TargetMode="External"/><Relationship Id="rId1" Type="http://schemas.openxmlformats.org/officeDocument/2006/relationships/hyperlink" Target="https://doi.org/10.22266/ijies2025.0430.14" TargetMode="External"/><Relationship Id="rId6" Type="http://schemas.openxmlformats.org/officeDocument/2006/relationships/hyperlink" Target="https://doi.org/10.11591/eei.v13i6.7308" TargetMode="External"/><Relationship Id="rId11" Type="http://schemas.openxmlformats.org/officeDocument/2006/relationships/hyperlink" Target="https://doi.org/10.18280/ijsse.150819" TargetMode="External"/><Relationship Id="rId5" Type="http://schemas.openxmlformats.org/officeDocument/2006/relationships/hyperlink" Target="https://doi.org/10.11591/eei.v13i4.7143" TargetMode="External"/><Relationship Id="rId15" Type="http://schemas.openxmlformats.org/officeDocument/2006/relationships/drawing" Target="../drawings/drawing1.xml"/><Relationship Id="rId10" Type="http://schemas.openxmlformats.org/officeDocument/2006/relationships/hyperlink" Target="https://doi.org/10.18280/ijsse.150815" TargetMode="External"/><Relationship Id="rId4" Type="http://schemas.openxmlformats.org/officeDocument/2006/relationships/hyperlink" Target="https://doi.org/10.11591/eei.v15i3.11889" TargetMode="External"/><Relationship Id="rId9" Type="http://schemas.openxmlformats.org/officeDocument/2006/relationships/hyperlink" Target="https://doi.org/10.18280/ijsse.160615" TargetMode="External"/><Relationship Id="rId14" Type="http://schemas.openxmlformats.org/officeDocument/2006/relationships/hyperlink" Target="https://doi.org/10.22266/ijies2024.0430.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ACE0E-99F5-4F16-801A-E2E9341084A3}">
  <dimension ref="A1:N56"/>
  <sheetViews>
    <sheetView tabSelected="1" zoomScale="55" zoomScaleNormal="55" workbookViewId="0">
      <selection activeCell="A56" sqref="A56"/>
    </sheetView>
  </sheetViews>
  <sheetFormatPr baseColWidth="10" defaultColWidth="8.88671875" defaultRowHeight="15.6" x14ac:dyDescent="0.3"/>
  <cols>
    <col min="2" max="2" width="71" customWidth="1"/>
    <col min="3" max="3" width="45" style="20" customWidth="1"/>
    <col min="4" max="4" width="18.109375" customWidth="1"/>
    <col min="5" max="5" width="41.109375" bestFit="1" customWidth="1"/>
    <col min="6" max="6" width="63" bestFit="1" customWidth="1"/>
    <col min="7" max="8" width="45" customWidth="1"/>
    <col min="9" max="9" width="33" customWidth="1"/>
    <col min="10" max="11" width="26.21875" customWidth="1"/>
    <col min="12" max="12" width="20.109375" bestFit="1" customWidth="1"/>
    <col min="13" max="13" width="25.6640625" customWidth="1"/>
    <col min="14" max="14" width="28.33203125" customWidth="1"/>
  </cols>
  <sheetData>
    <row r="1" spans="1:14" ht="14.25" customHeight="1" x14ac:dyDescent="0.3">
      <c r="A1" s="39" t="s">
        <v>15</v>
      </c>
      <c r="B1" s="39" t="s">
        <v>0</v>
      </c>
      <c r="C1" s="40" t="s">
        <v>1</v>
      </c>
      <c r="D1" s="42" t="s">
        <v>2</v>
      </c>
      <c r="E1" s="42"/>
      <c r="F1" s="42"/>
      <c r="G1" s="42"/>
      <c r="H1" s="42"/>
      <c r="I1" s="42"/>
      <c r="J1" s="42"/>
      <c r="K1" s="3"/>
      <c r="L1" s="3"/>
      <c r="M1" s="3"/>
      <c r="N1" s="3" t="s">
        <v>16</v>
      </c>
    </row>
    <row r="2" spans="1:14" ht="14.25" customHeight="1" x14ac:dyDescent="0.3">
      <c r="A2" s="39"/>
      <c r="B2" s="39"/>
      <c r="C2" s="41"/>
      <c r="D2" s="11" t="s">
        <v>18</v>
      </c>
      <c r="E2" s="11" t="s">
        <v>19</v>
      </c>
      <c r="F2" s="11" t="s">
        <v>20</v>
      </c>
      <c r="G2" s="11" t="s">
        <v>21</v>
      </c>
      <c r="H2" s="11" t="s">
        <v>22</v>
      </c>
      <c r="I2" s="11" t="s">
        <v>23</v>
      </c>
      <c r="J2" s="11" t="s">
        <v>24</v>
      </c>
      <c r="K2" s="11" t="s">
        <v>28</v>
      </c>
      <c r="L2" s="11" t="s">
        <v>29</v>
      </c>
      <c r="M2" s="11" t="s">
        <v>30</v>
      </c>
      <c r="N2" s="11" t="s">
        <v>25</v>
      </c>
    </row>
    <row r="3" spans="1:14" ht="15" customHeight="1" x14ac:dyDescent="0.3">
      <c r="A3" s="2"/>
      <c r="B3" s="48" t="s">
        <v>103</v>
      </c>
      <c r="C3" s="38"/>
      <c r="D3" s="38"/>
      <c r="E3" s="38"/>
      <c r="F3" s="38"/>
      <c r="G3" s="38"/>
      <c r="H3" s="38"/>
      <c r="I3" s="38"/>
      <c r="J3" s="38"/>
      <c r="K3" s="1"/>
      <c r="L3" s="1"/>
      <c r="M3" s="1"/>
    </row>
    <row r="4" spans="1:14" ht="49.8" customHeight="1" x14ac:dyDescent="0.35">
      <c r="A4" s="49" t="s">
        <v>104</v>
      </c>
      <c r="B4" s="49"/>
      <c r="C4" s="49"/>
      <c r="D4" s="49"/>
      <c r="E4" s="49"/>
      <c r="F4" s="49"/>
      <c r="G4" s="49"/>
      <c r="H4" s="49"/>
      <c r="I4" s="49"/>
      <c r="J4" s="18"/>
      <c r="K4" s="18"/>
      <c r="L4" s="18"/>
      <c r="M4" s="18"/>
      <c r="N4" s="14"/>
    </row>
    <row r="5" spans="1:14" ht="72" x14ac:dyDescent="0.3">
      <c r="A5" s="9">
        <v>1</v>
      </c>
      <c r="B5" s="10" t="s">
        <v>125</v>
      </c>
      <c r="C5" s="43" t="s">
        <v>134</v>
      </c>
      <c r="D5" s="12" t="s">
        <v>5</v>
      </c>
      <c r="E5" s="51" t="s">
        <v>135</v>
      </c>
      <c r="F5" s="12" t="s">
        <v>136</v>
      </c>
      <c r="G5" s="12" t="s">
        <v>59</v>
      </c>
      <c r="H5" s="12" t="s">
        <v>6</v>
      </c>
      <c r="I5" s="12" t="s">
        <v>137</v>
      </c>
      <c r="J5" s="12" t="s">
        <v>4</v>
      </c>
      <c r="K5" s="13"/>
      <c r="L5" s="13"/>
      <c r="M5" s="13"/>
      <c r="N5" s="16" t="s">
        <v>17</v>
      </c>
    </row>
    <row r="6" spans="1:14" ht="72" x14ac:dyDescent="0.3">
      <c r="A6" s="9">
        <v>2</v>
      </c>
      <c r="B6" s="10" t="s">
        <v>126</v>
      </c>
      <c r="C6" s="43" t="s">
        <v>130</v>
      </c>
      <c r="D6" s="12" t="s">
        <v>5</v>
      </c>
      <c r="E6" s="51" t="s">
        <v>138</v>
      </c>
      <c r="F6" s="12" t="s">
        <v>139</v>
      </c>
      <c r="G6" s="12" t="s">
        <v>140</v>
      </c>
      <c r="H6" s="12" t="s">
        <v>141</v>
      </c>
      <c r="I6" s="12" t="s">
        <v>142</v>
      </c>
      <c r="J6" s="12" t="s">
        <v>4</v>
      </c>
      <c r="K6" s="13"/>
      <c r="L6" s="13"/>
      <c r="M6" s="13"/>
      <c r="N6" s="16" t="s">
        <v>17</v>
      </c>
    </row>
    <row r="7" spans="1:14" ht="72" x14ac:dyDescent="0.3">
      <c r="A7" s="9">
        <v>3</v>
      </c>
      <c r="B7" s="10" t="s">
        <v>127</v>
      </c>
      <c r="C7" s="43" t="s">
        <v>131</v>
      </c>
      <c r="D7" s="12" t="s">
        <v>5</v>
      </c>
      <c r="E7" s="51" t="s">
        <v>35</v>
      </c>
      <c r="F7" s="12" t="s">
        <v>26</v>
      </c>
      <c r="G7" s="12" t="s">
        <v>92</v>
      </c>
      <c r="H7" s="12" t="s">
        <v>6</v>
      </c>
      <c r="I7" s="12" t="s">
        <v>143</v>
      </c>
      <c r="J7" s="12" t="s">
        <v>142</v>
      </c>
      <c r="K7" s="12" t="s">
        <v>137</v>
      </c>
      <c r="L7" s="12" t="s">
        <v>4</v>
      </c>
      <c r="M7" s="13"/>
      <c r="N7" s="16" t="s">
        <v>17</v>
      </c>
    </row>
    <row r="8" spans="1:14" ht="72" x14ac:dyDescent="0.3">
      <c r="A8" s="9">
        <v>4</v>
      </c>
      <c r="B8" s="10" t="s">
        <v>128</v>
      </c>
      <c r="C8" s="43" t="s">
        <v>132</v>
      </c>
      <c r="D8" s="12" t="s">
        <v>27</v>
      </c>
      <c r="E8" s="12" t="s">
        <v>7</v>
      </c>
      <c r="F8" s="50" t="s">
        <v>144</v>
      </c>
      <c r="G8" s="12" t="s">
        <v>145</v>
      </c>
      <c r="H8" s="12" t="s">
        <v>146</v>
      </c>
      <c r="I8" s="12" t="s">
        <v>147</v>
      </c>
      <c r="J8" s="12" t="s">
        <v>66</v>
      </c>
      <c r="K8" s="12" t="s">
        <v>143</v>
      </c>
      <c r="L8" s="12" t="s">
        <v>142</v>
      </c>
      <c r="M8" s="12" t="s">
        <v>4</v>
      </c>
      <c r="N8" s="16" t="s">
        <v>17</v>
      </c>
    </row>
    <row r="9" spans="1:14" ht="72" x14ac:dyDescent="0.3">
      <c r="A9" s="9">
        <v>5</v>
      </c>
      <c r="B9" s="10" t="s">
        <v>129</v>
      </c>
      <c r="C9" s="43" t="s">
        <v>133</v>
      </c>
      <c r="D9" s="12" t="s">
        <v>5</v>
      </c>
      <c r="E9" s="12" t="s">
        <v>7</v>
      </c>
      <c r="F9" s="12" t="s">
        <v>148</v>
      </c>
      <c r="G9" s="12" t="s">
        <v>149</v>
      </c>
      <c r="H9" s="12" t="s">
        <v>6</v>
      </c>
      <c r="I9" s="24" t="s">
        <v>143</v>
      </c>
      <c r="J9" s="24" t="s">
        <v>142</v>
      </c>
      <c r="K9" s="12" t="s">
        <v>137</v>
      </c>
      <c r="L9" s="12" t="s">
        <v>4</v>
      </c>
      <c r="M9" s="12"/>
      <c r="N9" s="16" t="s">
        <v>17</v>
      </c>
    </row>
    <row r="10" spans="1:14" ht="25.8" x14ac:dyDescent="0.3">
      <c r="A10" s="9"/>
      <c r="B10" s="38" t="s">
        <v>54</v>
      </c>
      <c r="C10" s="38"/>
      <c r="D10" s="38"/>
      <c r="E10" s="38"/>
      <c r="F10" s="38"/>
      <c r="G10" s="38"/>
      <c r="H10" s="38"/>
      <c r="I10" s="38"/>
      <c r="J10" s="38"/>
      <c r="K10" s="1"/>
      <c r="L10" s="1"/>
      <c r="M10" s="1"/>
    </row>
    <row r="11" spans="1:14" ht="49.8" customHeight="1" x14ac:dyDescent="0.35">
      <c r="A11" s="46" t="s">
        <v>77</v>
      </c>
      <c r="B11" s="46"/>
      <c r="C11" s="46"/>
      <c r="D11" s="46"/>
      <c r="E11" s="46"/>
      <c r="F11" s="46"/>
      <c r="G11" s="46"/>
      <c r="H11" s="46"/>
      <c r="I11" s="46"/>
      <c r="J11" s="18"/>
      <c r="K11" s="18"/>
      <c r="L11" s="18"/>
      <c r="M11" s="18"/>
      <c r="N11" s="14"/>
    </row>
    <row r="12" spans="1:14" ht="49.8" customHeight="1" x14ac:dyDescent="0.35">
      <c r="A12" s="44">
        <v>6</v>
      </c>
      <c r="B12" s="8" t="s">
        <v>49</v>
      </c>
      <c r="C12" s="43" t="s">
        <v>53</v>
      </c>
      <c r="D12" s="18" t="s">
        <v>5</v>
      </c>
      <c r="E12" s="18" t="s">
        <v>50</v>
      </c>
      <c r="F12" s="18" t="s">
        <v>51</v>
      </c>
      <c r="G12" s="18" t="s">
        <v>52</v>
      </c>
      <c r="H12" s="18"/>
      <c r="I12" s="18"/>
      <c r="J12" s="18"/>
      <c r="K12" s="18"/>
      <c r="L12" s="18"/>
      <c r="M12" s="18"/>
      <c r="N12" s="14"/>
    </row>
    <row r="13" spans="1:14" ht="49.8" customHeight="1" x14ac:dyDescent="0.3">
      <c r="A13" s="44">
        <v>7</v>
      </c>
      <c r="B13" s="8" t="s">
        <v>55</v>
      </c>
      <c r="C13" s="43" t="s">
        <v>56</v>
      </c>
      <c r="D13" s="18" t="s">
        <v>27</v>
      </c>
      <c r="E13" s="18" t="s">
        <v>57</v>
      </c>
      <c r="F13" s="17" t="s">
        <v>58</v>
      </c>
      <c r="G13" s="18" t="s">
        <v>59</v>
      </c>
      <c r="H13" s="17" t="s">
        <v>6</v>
      </c>
      <c r="I13" s="17"/>
      <c r="J13" s="18"/>
      <c r="K13" s="18"/>
      <c r="L13" s="18"/>
      <c r="M13" s="18"/>
      <c r="N13" s="15" t="s">
        <v>32</v>
      </c>
    </row>
    <row r="14" spans="1:14" ht="49.8" customHeight="1" x14ac:dyDescent="0.3">
      <c r="A14" s="44">
        <v>8</v>
      </c>
      <c r="B14" s="8" t="s">
        <v>60</v>
      </c>
      <c r="C14" s="43" t="s">
        <v>61</v>
      </c>
      <c r="D14" s="18" t="s">
        <v>5</v>
      </c>
      <c r="E14" s="18" t="s">
        <v>13</v>
      </c>
      <c r="F14" s="18" t="s">
        <v>62</v>
      </c>
      <c r="G14" s="18" t="s">
        <v>63</v>
      </c>
      <c r="H14" s="19" t="s">
        <v>64</v>
      </c>
      <c r="I14" s="17" t="s">
        <v>65</v>
      </c>
      <c r="J14" s="18" t="s">
        <v>66</v>
      </c>
      <c r="K14" s="18"/>
      <c r="L14" s="18"/>
      <c r="M14" s="18"/>
      <c r="N14" s="15" t="s">
        <v>32</v>
      </c>
    </row>
    <row r="15" spans="1:14" ht="49.8" customHeight="1" x14ac:dyDescent="0.35">
      <c r="A15" s="44">
        <v>9</v>
      </c>
      <c r="B15" s="8" t="s">
        <v>67</v>
      </c>
      <c r="C15" s="43" t="s">
        <v>68</v>
      </c>
      <c r="D15" s="18" t="s">
        <v>5</v>
      </c>
      <c r="E15" s="18" t="s">
        <v>11</v>
      </c>
      <c r="F15" s="18" t="s">
        <v>69</v>
      </c>
      <c r="G15" s="18" t="s">
        <v>70</v>
      </c>
      <c r="H15" s="18" t="s">
        <v>71</v>
      </c>
      <c r="I15" s="18" t="s">
        <v>12</v>
      </c>
      <c r="J15" s="18"/>
      <c r="K15" s="18"/>
      <c r="L15" s="18"/>
      <c r="M15" s="18"/>
      <c r="N15" s="14"/>
    </row>
    <row r="16" spans="1:14" ht="49.8" customHeight="1" x14ac:dyDescent="0.3">
      <c r="A16" s="44">
        <v>10</v>
      </c>
      <c r="B16" s="8" t="s">
        <v>72</v>
      </c>
      <c r="C16" s="43" t="s">
        <v>73</v>
      </c>
      <c r="D16" s="17" t="s">
        <v>5</v>
      </c>
      <c r="E16" s="17" t="s">
        <v>11</v>
      </c>
      <c r="F16" s="17" t="s">
        <v>74</v>
      </c>
      <c r="G16" s="17" t="s">
        <v>75</v>
      </c>
      <c r="H16" s="17" t="s">
        <v>8</v>
      </c>
      <c r="I16" s="17" t="s">
        <v>12</v>
      </c>
      <c r="J16" s="17"/>
      <c r="K16" s="17"/>
      <c r="L16" s="17"/>
      <c r="M16" s="17"/>
      <c r="N16" s="15" t="s">
        <v>32</v>
      </c>
    </row>
    <row r="17" spans="1:14" ht="49.8" customHeight="1" x14ac:dyDescent="0.35">
      <c r="A17" s="47" t="s">
        <v>76</v>
      </c>
      <c r="B17" s="47"/>
      <c r="C17" s="47"/>
      <c r="D17" s="47"/>
      <c r="E17" s="47"/>
      <c r="F17" s="47"/>
      <c r="G17" s="47"/>
      <c r="H17" s="47"/>
      <c r="I17" s="47"/>
      <c r="J17" s="18"/>
      <c r="K17" s="18"/>
      <c r="L17" s="18"/>
      <c r="M17" s="18"/>
      <c r="N17" s="14"/>
    </row>
    <row r="18" spans="1:14" ht="49.8" customHeight="1" x14ac:dyDescent="0.35">
      <c r="A18" s="45">
        <v>11</v>
      </c>
      <c r="B18" s="8" t="s">
        <v>78</v>
      </c>
      <c r="C18" s="43" t="s">
        <v>79</v>
      </c>
      <c r="D18" s="18" t="s">
        <v>5</v>
      </c>
      <c r="E18" s="18" t="s">
        <v>35</v>
      </c>
      <c r="F18" s="18" t="s">
        <v>80</v>
      </c>
      <c r="G18" s="18" t="s">
        <v>81</v>
      </c>
      <c r="H18" s="18" t="s">
        <v>82</v>
      </c>
      <c r="I18" s="18" t="s">
        <v>83</v>
      </c>
      <c r="J18" s="18" t="s">
        <v>14</v>
      </c>
      <c r="K18" s="18"/>
      <c r="L18" s="18"/>
      <c r="M18" s="18"/>
      <c r="N18" s="14"/>
    </row>
    <row r="19" spans="1:14" ht="49.8" customHeight="1" x14ac:dyDescent="0.35">
      <c r="A19" s="45">
        <v>12</v>
      </c>
      <c r="B19" s="8" t="s">
        <v>84</v>
      </c>
      <c r="C19" s="43" t="s">
        <v>85</v>
      </c>
      <c r="D19" s="18" t="s">
        <v>5</v>
      </c>
      <c r="E19" s="18" t="s">
        <v>86</v>
      </c>
      <c r="F19" s="18" t="s">
        <v>87</v>
      </c>
      <c r="G19" s="18" t="s">
        <v>88</v>
      </c>
      <c r="H19" s="18" t="s">
        <v>89</v>
      </c>
      <c r="I19" s="18" t="s">
        <v>10</v>
      </c>
      <c r="J19" s="18"/>
      <c r="K19" s="18"/>
      <c r="L19" s="18"/>
      <c r="M19" s="18"/>
      <c r="N19" s="14"/>
    </row>
    <row r="20" spans="1:14" ht="49.8" customHeight="1" x14ac:dyDescent="0.35">
      <c r="A20" s="45">
        <v>13</v>
      </c>
      <c r="B20" s="8" t="s">
        <v>90</v>
      </c>
      <c r="C20" s="43" t="s">
        <v>91</v>
      </c>
      <c r="D20" s="18" t="s">
        <v>27</v>
      </c>
      <c r="E20" s="18" t="s">
        <v>35</v>
      </c>
      <c r="F20" s="18" t="s">
        <v>58</v>
      </c>
      <c r="G20" s="18" t="s">
        <v>92</v>
      </c>
      <c r="H20" s="18" t="s">
        <v>93</v>
      </c>
      <c r="I20" s="18"/>
      <c r="J20" s="18"/>
      <c r="K20" s="18"/>
      <c r="L20" s="18"/>
      <c r="M20" s="18"/>
      <c r="N20" s="14"/>
    </row>
    <row r="21" spans="1:14" ht="49.8" customHeight="1" x14ac:dyDescent="0.35">
      <c r="A21" s="45">
        <v>14</v>
      </c>
      <c r="B21" s="8" t="s">
        <v>94</v>
      </c>
      <c r="C21" s="43" t="s">
        <v>95</v>
      </c>
      <c r="D21" s="18" t="s">
        <v>5</v>
      </c>
      <c r="E21" s="18" t="s">
        <v>13</v>
      </c>
      <c r="F21" s="18" t="s">
        <v>112</v>
      </c>
      <c r="G21" s="18" t="s">
        <v>96</v>
      </c>
      <c r="H21" s="18" t="s">
        <v>31</v>
      </c>
      <c r="I21" s="18" t="s">
        <v>10</v>
      </c>
      <c r="J21" s="18"/>
      <c r="K21" s="18"/>
      <c r="L21" s="18"/>
      <c r="M21" s="18"/>
      <c r="N21" s="14"/>
    </row>
    <row r="22" spans="1:14" ht="49.8" customHeight="1" x14ac:dyDescent="0.35">
      <c r="A22" s="45">
        <v>15</v>
      </c>
      <c r="B22" s="8" t="s">
        <v>97</v>
      </c>
      <c r="C22" s="43" t="s">
        <v>98</v>
      </c>
      <c r="D22" s="18" t="s">
        <v>5</v>
      </c>
      <c r="E22" s="18" t="s">
        <v>35</v>
      </c>
      <c r="F22" s="18" t="s">
        <v>99</v>
      </c>
      <c r="G22" s="18" t="s">
        <v>100</v>
      </c>
      <c r="H22" s="18" t="s">
        <v>101</v>
      </c>
      <c r="I22" s="18" t="s">
        <v>102</v>
      </c>
      <c r="J22" s="18" t="s">
        <v>66</v>
      </c>
      <c r="K22" s="18"/>
      <c r="L22" s="18"/>
      <c r="M22" s="18"/>
      <c r="N22" s="14"/>
    </row>
    <row r="24" spans="1:14" ht="21" x14ac:dyDescent="0.3">
      <c r="A24" s="23" t="s">
        <v>15</v>
      </c>
      <c r="B24" s="23" t="s">
        <v>36</v>
      </c>
      <c r="C24" s="23" t="s">
        <v>42</v>
      </c>
      <c r="D24" s="23" t="s">
        <v>43</v>
      </c>
      <c r="E24" s="4"/>
      <c r="G24" s="4"/>
      <c r="H24" s="4"/>
      <c r="I24" s="4"/>
      <c r="J24" s="5"/>
      <c r="K24" s="5"/>
      <c r="L24" s="5"/>
      <c r="M24" s="5"/>
    </row>
    <row r="25" spans="1:14" ht="25.8" x14ac:dyDescent="0.3">
      <c r="A25" s="28">
        <v>1</v>
      </c>
      <c r="B25" s="29" t="s">
        <v>37</v>
      </c>
      <c r="C25" s="30">
        <v>15</v>
      </c>
      <c r="D25" s="27">
        <f>+C25/$C$56</f>
        <v>0.18518518518518517</v>
      </c>
      <c r="F25" s="37" t="s">
        <v>45</v>
      </c>
    </row>
    <row r="26" spans="1:14" ht="25.8" x14ac:dyDescent="0.4">
      <c r="A26" s="28">
        <v>2</v>
      </c>
      <c r="B26" s="31" t="s">
        <v>38</v>
      </c>
      <c r="C26" s="30">
        <v>10</v>
      </c>
      <c r="D26" s="27">
        <f>+C26/$C$56</f>
        <v>0.12345679012345678</v>
      </c>
      <c r="F26" s="33" t="s">
        <v>105</v>
      </c>
    </row>
    <row r="27" spans="1:14" ht="25.8" x14ac:dyDescent="0.4">
      <c r="A27" s="9">
        <v>3</v>
      </c>
      <c r="B27" s="22" t="s">
        <v>106</v>
      </c>
      <c r="C27" s="26">
        <v>1</v>
      </c>
      <c r="D27" s="27">
        <f>+C27/$C$56</f>
        <v>1.2345679012345678E-2</v>
      </c>
    </row>
    <row r="28" spans="1:14" ht="28.8" x14ac:dyDescent="0.55000000000000004">
      <c r="A28" s="9">
        <v>4</v>
      </c>
      <c r="B28" s="22" t="s">
        <v>150</v>
      </c>
      <c r="C28" s="26">
        <v>1</v>
      </c>
      <c r="D28" s="27">
        <f>+C28/$C$56</f>
        <v>1.2345679012345678E-2</v>
      </c>
      <c r="F28" s="35" t="s">
        <v>46</v>
      </c>
    </row>
    <row r="29" spans="1:14" ht="25.8" x14ac:dyDescent="0.5">
      <c r="A29" s="9">
        <v>5</v>
      </c>
      <c r="B29" s="22" t="s">
        <v>39</v>
      </c>
      <c r="C29" s="26">
        <v>2</v>
      </c>
      <c r="D29" s="27">
        <f>+C29/$C$56</f>
        <v>2.4691358024691357E-2</v>
      </c>
      <c r="E29" s="36">
        <v>1</v>
      </c>
      <c r="F29" s="34" t="s">
        <v>47</v>
      </c>
    </row>
    <row r="30" spans="1:14" ht="25.8" x14ac:dyDescent="0.5">
      <c r="A30" s="9">
        <v>6</v>
      </c>
      <c r="B30" s="22" t="s">
        <v>151</v>
      </c>
      <c r="C30" s="26">
        <v>1</v>
      </c>
      <c r="D30" s="27">
        <f>+C30/$C$56</f>
        <v>1.2345679012345678E-2</v>
      </c>
      <c r="E30" s="36">
        <v>2</v>
      </c>
      <c r="F30" s="34" t="s">
        <v>33</v>
      </c>
      <c r="G30" s="6"/>
    </row>
    <row r="31" spans="1:14" ht="25.8" x14ac:dyDescent="0.5">
      <c r="A31" s="9">
        <v>7</v>
      </c>
      <c r="B31" s="22"/>
      <c r="C31" s="26"/>
      <c r="D31" s="27">
        <f>+C31/$C$56</f>
        <v>0</v>
      </c>
      <c r="E31" s="36">
        <v>3</v>
      </c>
      <c r="F31" s="34" t="s">
        <v>40</v>
      </c>
    </row>
    <row r="32" spans="1:14" ht="25.8" x14ac:dyDescent="0.5">
      <c r="A32" s="9">
        <v>8</v>
      </c>
      <c r="B32" s="22"/>
      <c r="C32" s="26"/>
      <c r="D32" s="27">
        <f>+C32/$C$56</f>
        <v>0</v>
      </c>
      <c r="E32" s="36">
        <v>4</v>
      </c>
      <c r="F32" s="34" t="s">
        <v>3</v>
      </c>
    </row>
    <row r="33" spans="1:6" ht="25.8" x14ac:dyDescent="0.5">
      <c r="A33" s="9"/>
      <c r="B33" s="22"/>
      <c r="C33" s="26"/>
      <c r="D33" s="27">
        <f>+C33/$C$56</f>
        <v>0</v>
      </c>
      <c r="E33" s="36">
        <v>5</v>
      </c>
      <c r="F33" s="34" t="s">
        <v>41</v>
      </c>
    </row>
    <row r="34" spans="1:6" ht="25.8" x14ac:dyDescent="0.5">
      <c r="A34" s="28">
        <v>9</v>
      </c>
      <c r="B34" s="31" t="s">
        <v>120</v>
      </c>
      <c r="C34" s="30">
        <v>3</v>
      </c>
      <c r="D34" s="27">
        <f>+C34/$C$56</f>
        <v>3.7037037037037035E-2</v>
      </c>
      <c r="E34" s="36">
        <v>6</v>
      </c>
      <c r="F34" s="34" t="s">
        <v>9</v>
      </c>
    </row>
    <row r="35" spans="1:6" ht="25.8" x14ac:dyDescent="0.5">
      <c r="A35" s="9">
        <v>10</v>
      </c>
      <c r="B35" s="22" t="s">
        <v>108</v>
      </c>
      <c r="C35" s="26">
        <v>1</v>
      </c>
      <c r="D35" s="27">
        <f>+C35/$C$56</f>
        <v>1.2345679012345678E-2</v>
      </c>
      <c r="E35" s="36">
        <v>7</v>
      </c>
      <c r="F35" s="34" t="s">
        <v>25</v>
      </c>
    </row>
    <row r="36" spans="1:6" ht="25.8" x14ac:dyDescent="0.5">
      <c r="A36" s="9">
        <v>11</v>
      </c>
      <c r="B36" s="22" t="s">
        <v>107</v>
      </c>
      <c r="C36" s="26">
        <v>1</v>
      </c>
      <c r="D36" s="27">
        <f>+C36/$C$56</f>
        <v>1.2345679012345678E-2</v>
      </c>
      <c r="E36" s="36">
        <v>8</v>
      </c>
      <c r="F36" s="34" t="s">
        <v>48</v>
      </c>
    </row>
    <row r="37" spans="1:6" ht="25.8" x14ac:dyDescent="0.4">
      <c r="A37" s="9">
        <v>12</v>
      </c>
      <c r="B37" s="22" t="s">
        <v>109</v>
      </c>
      <c r="C37" s="26">
        <v>1</v>
      </c>
      <c r="D37" s="27">
        <f>+C37/$C$56</f>
        <v>1.2345679012345678E-2</v>
      </c>
    </row>
    <row r="38" spans="1:6" ht="25.8" x14ac:dyDescent="0.4">
      <c r="A38" s="9">
        <v>13</v>
      </c>
      <c r="B38" s="22" t="s">
        <v>110</v>
      </c>
      <c r="C38" s="26">
        <v>1</v>
      </c>
      <c r="D38" s="27">
        <f>+C38/$C$56</f>
        <v>1.2345679012345678E-2</v>
      </c>
    </row>
    <row r="39" spans="1:6" ht="25.8" x14ac:dyDescent="0.4">
      <c r="A39" s="9">
        <v>14</v>
      </c>
      <c r="B39" s="22" t="s">
        <v>111</v>
      </c>
      <c r="C39" s="26">
        <v>1</v>
      </c>
      <c r="D39" s="27">
        <f>+C39/$C$56</f>
        <v>1.2345679012345678E-2</v>
      </c>
    </row>
    <row r="40" spans="1:6" ht="25.8" x14ac:dyDescent="0.4">
      <c r="A40" s="9">
        <v>15</v>
      </c>
      <c r="B40" s="22" t="s">
        <v>107</v>
      </c>
      <c r="C40" s="26">
        <v>1</v>
      </c>
      <c r="D40" s="27">
        <f>+C40/$C$56</f>
        <v>1.2345679012345678E-2</v>
      </c>
    </row>
    <row r="41" spans="1:6" ht="25.8" x14ac:dyDescent="0.4">
      <c r="A41" s="9">
        <v>16</v>
      </c>
      <c r="B41" s="22" t="s">
        <v>113</v>
      </c>
      <c r="C41" s="26">
        <v>1</v>
      </c>
      <c r="D41" s="27">
        <f>+C41/$C$56</f>
        <v>1.2345679012345678E-2</v>
      </c>
    </row>
    <row r="42" spans="1:6" ht="25.8" x14ac:dyDescent="0.4">
      <c r="A42" s="9">
        <v>17</v>
      </c>
      <c r="B42" s="22" t="s">
        <v>114</v>
      </c>
      <c r="C42" s="26">
        <v>1</v>
      </c>
      <c r="D42" s="27">
        <f>+C42/$C$56</f>
        <v>1.2345679012345678E-2</v>
      </c>
    </row>
    <row r="43" spans="1:6" ht="25.8" x14ac:dyDescent="0.4">
      <c r="A43" s="9">
        <v>18</v>
      </c>
      <c r="B43" s="22" t="s">
        <v>115</v>
      </c>
      <c r="C43" s="26">
        <v>1</v>
      </c>
      <c r="D43" s="27">
        <f>+C43/$C$56</f>
        <v>1.2345679012345678E-2</v>
      </c>
    </row>
    <row r="44" spans="1:6" ht="25.8" x14ac:dyDescent="0.4">
      <c r="A44" s="9">
        <v>19</v>
      </c>
      <c r="B44" s="22" t="s">
        <v>116</v>
      </c>
      <c r="C44" s="26">
        <v>1</v>
      </c>
      <c r="D44" s="27">
        <f>+C44/$C$56</f>
        <v>1.2345679012345678E-2</v>
      </c>
    </row>
    <row r="45" spans="1:6" ht="25.8" x14ac:dyDescent="0.4">
      <c r="A45" s="9">
        <v>20</v>
      </c>
      <c r="B45" s="22" t="s">
        <v>117</v>
      </c>
      <c r="C45" s="26">
        <v>1</v>
      </c>
      <c r="D45" s="27">
        <f>+C45/$C$56</f>
        <v>1.2345679012345678E-2</v>
      </c>
    </row>
    <row r="46" spans="1:6" ht="25.8" x14ac:dyDescent="0.4">
      <c r="A46" s="28">
        <v>21</v>
      </c>
      <c r="B46" s="31" t="s">
        <v>118</v>
      </c>
      <c r="C46" s="30">
        <v>2</v>
      </c>
      <c r="D46" s="27">
        <f>+C46/$C$56</f>
        <v>2.4691358024691357E-2</v>
      </c>
    </row>
    <row r="47" spans="1:6" ht="25.8" x14ac:dyDescent="0.4">
      <c r="A47" s="9">
        <v>22</v>
      </c>
      <c r="B47" s="22" t="s">
        <v>119</v>
      </c>
      <c r="C47" s="26">
        <v>3</v>
      </c>
      <c r="D47" s="27">
        <f>+C47/$C$56</f>
        <v>3.7037037037037035E-2</v>
      </c>
    </row>
    <row r="48" spans="1:6" ht="25.8" x14ac:dyDescent="0.4">
      <c r="A48" s="9">
        <v>23</v>
      </c>
      <c r="B48" s="22" t="s">
        <v>121</v>
      </c>
      <c r="C48" s="26">
        <v>1</v>
      </c>
      <c r="D48" s="27">
        <f>+C48/$C$56</f>
        <v>1.2345679012345678E-2</v>
      </c>
    </row>
    <row r="49" spans="1:6" ht="25.8" x14ac:dyDescent="0.4">
      <c r="A49" s="9">
        <v>24</v>
      </c>
      <c r="B49" s="22" t="s">
        <v>122</v>
      </c>
      <c r="C49" s="26">
        <v>1</v>
      </c>
      <c r="D49" s="27">
        <f>+C49/$C$56</f>
        <v>1.2345679012345678E-2</v>
      </c>
    </row>
    <row r="50" spans="1:6" ht="25.8" x14ac:dyDescent="0.4">
      <c r="A50" s="9">
        <v>25</v>
      </c>
      <c r="B50" s="22" t="s">
        <v>123</v>
      </c>
      <c r="C50" s="26">
        <v>1</v>
      </c>
      <c r="D50" s="27">
        <f>+C50/$C$56</f>
        <v>1.2345679012345678E-2</v>
      </c>
    </row>
    <row r="51" spans="1:6" ht="25.8" x14ac:dyDescent="0.4">
      <c r="A51" s="9">
        <v>26</v>
      </c>
      <c r="B51" s="22" t="s">
        <v>124</v>
      </c>
      <c r="C51" s="26">
        <v>1</v>
      </c>
      <c r="D51" s="27">
        <f>+C51/$C$56</f>
        <v>1.2345679012345678E-2</v>
      </c>
    </row>
    <row r="52" spans="1:6" ht="25.8" x14ac:dyDescent="0.4">
      <c r="A52" s="28">
        <v>27</v>
      </c>
      <c r="B52" s="31" t="s">
        <v>41</v>
      </c>
      <c r="C52" s="30">
        <v>3</v>
      </c>
      <c r="D52" s="27">
        <f>+C52/$C$56</f>
        <v>3.7037037037037035E-2</v>
      </c>
    </row>
    <row r="53" spans="1:6" ht="25.8" x14ac:dyDescent="0.4">
      <c r="A53" s="9">
        <v>28</v>
      </c>
      <c r="B53" s="22" t="s">
        <v>152</v>
      </c>
      <c r="C53" s="26">
        <v>1</v>
      </c>
      <c r="D53" s="27">
        <f>+C53/$C$56</f>
        <v>1.2345679012345678E-2</v>
      </c>
      <c r="F53" s="7"/>
    </row>
    <row r="54" spans="1:6" ht="25.8" x14ac:dyDescent="0.4">
      <c r="A54" s="28">
        <v>29</v>
      </c>
      <c r="B54" s="31" t="s">
        <v>34</v>
      </c>
      <c r="C54" s="30">
        <v>14</v>
      </c>
      <c r="D54" s="27">
        <f>+C54/$C$56</f>
        <v>0.1728395061728395</v>
      </c>
    </row>
    <row r="55" spans="1:6" ht="25.8" x14ac:dyDescent="0.3">
      <c r="A55" s="28">
        <v>30</v>
      </c>
      <c r="B55" s="32" t="s">
        <v>4</v>
      </c>
      <c r="C55" s="30">
        <v>10</v>
      </c>
      <c r="D55" s="27">
        <f>+C55/$C$56</f>
        <v>0.12345679012345678</v>
      </c>
    </row>
    <row r="56" spans="1:6" ht="21" x14ac:dyDescent="0.4">
      <c r="B56" s="25" t="s">
        <v>44</v>
      </c>
      <c r="C56" s="21">
        <f>SUM(C25:C55)</f>
        <v>81</v>
      </c>
    </row>
  </sheetData>
  <mergeCells count="9">
    <mergeCell ref="A17:I17"/>
    <mergeCell ref="A11:I11"/>
    <mergeCell ref="A4:I4"/>
    <mergeCell ref="B10:J10"/>
    <mergeCell ref="A1:A2"/>
    <mergeCell ref="B1:B2"/>
    <mergeCell ref="C1:C2"/>
    <mergeCell ref="D1:J1"/>
    <mergeCell ref="B3:J3"/>
  </mergeCells>
  <phoneticPr fontId="19" type="noConversion"/>
  <conditionalFormatting sqref="D25:D55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{77F7D83B-1BA5-4356-9391-3703E1287769}</x14:id>
        </ext>
      </extLst>
    </cfRule>
  </conditionalFormatting>
  <hyperlinks>
    <hyperlink ref="C6" r:id="rId1" xr:uid="{67B7A273-45F7-428E-AD10-925FBCCE776B}"/>
    <hyperlink ref="C7" r:id="rId2" xr:uid="{09352584-FF0D-436E-8C20-74D615A20CE3}"/>
    <hyperlink ref="C12" r:id="rId3" xr:uid="{124D3B8D-703A-465A-8D52-99D1A5FFA0C4}"/>
    <hyperlink ref="C13" r:id="rId4" xr:uid="{7B1C5911-B57E-40EC-9C62-9216747B5CA5}"/>
    <hyperlink ref="C14" r:id="rId5" xr:uid="{93596153-7D75-4B06-B61F-F305D84A7D44}"/>
    <hyperlink ref="C15" r:id="rId6" xr:uid="{04FBB6F5-13BB-4E63-9B12-16F1242B45D5}"/>
    <hyperlink ref="C16" r:id="rId7" xr:uid="{B14FA8E2-46EC-4BCB-AE62-2C64BA90196E}"/>
    <hyperlink ref="F26" r:id="rId8" xr:uid="{6B1B5875-8925-48BC-8EFB-CC9F16B3F6E2}"/>
    <hyperlink ref="C18" r:id="rId9" xr:uid="{37408FEF-900A-43EA-AD30-5000DD6E4D4F}"/>
    <hyperlink ref="C19" r:id="rId10" xr:uid="{3454A574-2BED-4840-966D-F21DCE2962CA}"/>
    <hyperlink ref="C20" r:id="rId11" xr:uid="{98780F39-982F-44EA-84AB-2A425115FC29}"/>
    <hyperlink ref="C21" r:id="rId12" xr:uid="{C8A17DD4-41B6-4691-98CC-771BE7380086}"/>
    <hyperlink ref="C22" r:id="rId13" xr:uid="{0AC53623-DE2D-4CE7-87D5-D88F568750E3}"/>
    <hyperlink ref="C9" r:id="rId14" xr:uid="{5FD91844-FA05-4909-B58F-C8079D19FE09}"/>
  </hyperlinks>
  <pageMargins left="0.7" right="0.7" top="0.75" bottom="0.75" header="0.3" footer="0.3"/>
  <drawing r:id="rId1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7F7D83B-1BA5-4356-9391-3703E128776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D25:D55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MAPEO ARTICULO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Uziel Sauñe Fernandez</cp:lastModifiedBy>
  <cp:revision>0</cp:revision>
  <dcterms:created xsi:type="dcterms:W3CDTF">2026-06-30T03:19:29Z</dcterms:created>
  <dcterms:modified xsi:type="dcterms:W3CDTF">2026-09-01T09:04:31Z</dcterms:modified>
  <dc:language>en-US</dc:language>
</cp:coreProperties>
</file>